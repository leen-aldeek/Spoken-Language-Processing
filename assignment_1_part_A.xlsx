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NI\spoken\assignment_1\"/>
    </mc:Choice>
  </mc:AlternateContent>
  <xr:revisionPtr revIDLastSave="0" documentId="13_ncr:1_{387CBDA1-0B44-495A-A855-4749BC76A591}" xr6:coauthVersionLast="47" xr6:coauthVersionMax="47" xr10:uidLastSave="{00000000-0000-0000-0000-000000000000}"/>
  <bookViews>
    <workbookView xWindow="-110" yWindow="-110" windowWidth="19420" windowHeight="10300" xr2:uid="{5AE19984-2696-4BFE-AB1D-4457086E25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6" i="1" l="1"/>
  <c r="M66" i="1"/>
  <c r="M96" i="1"/>
  <c r="N86" i="1"/>
  <c r="M86" i="1"/>
  <c r="N76" i="1"/>
  <c r="M76" i="1"/>
  <c r="N66" i="1"/>
  <c r="N56" i="1"/>
  <c r="M56" i="1"/>
  <c r="N46" i="1"/>
  <c r="M46" i="1"/>
  <c r="N36" i="1"/>
  <c r="M36" i="1"/>
  <c r="N26" i="1"/>
  <c r="M26" i="1"/>
  <c r="N16" i="1"/>
  <c r="M16" i="1"/>
  <c r="N6" i="1"/>
  <c r="M6" i="1"/>
</calcChain>
</file>

<file path=xl/sharedStrings.xml><?xml version="1.0" encoding="utf-8"?>
<sst xmlns="http://schemas.openxmlformats.org/spreadsheetml/2006/main" count="93" uniqueCount="14">
  <si>
    <t>e</t>
  </si>
  <si>
    <t>SPEAKER</t>
  </si>
  <si>
    <t>VOWEL</t>
  </si>
  <si>
    <t>TOKEN#</t>
  </si>
  <si>
    <t>F1</t>
  </si>
  <si>
    <t>F2</t>
  </si>
  <si>
    <t>Speaker 1</t>
  </si>
  <si>
    <t>Duration</t>
  </si>
  <si>
    <t>F1_V AVG</t>
  </si>
  <si>
    <t>Speaker 2</t>
  </si>
  <si>
    <t>i</t>
  </si>
  <si>
    <t>a</t>
  </si>
  <si>
    <t>o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</si>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</sst>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3" borderId="35" xfId="0" applyFill="1" applyBorder="1"/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/>
    <xf numFmtId="0" fontId="0" fillId="2" borderId="34" xfId="0" applyFill="1" applyBorder="1"/>
    <xf numFmtId="0" fontId="0" fillId="2" borderId="21" xfId="0" applyFill="1" applyBorder="1"/>
    <xf numFmtId="0" fontId="0" fillId="2" borderId="36" xfId="0" applyFill="1" applyBorder="1"/>
    <xf numFmtId="0" fontId="0" fillId="2" borderId="23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37" xfId="0" applyBorder="1"/>
    <xf numFmtId="0" fontId="0" fillId="0" borderId="38" xfId="0" applyBorder="1"/>
    <xf numFmtId="0" fontId="0" fillId="0" borderId="28" xfId="0" applyBorder="1"/>
    <xf numFmtId="0" fontId="0" fillId="0" borderId="29" xfId="0" applyBorder="1"/>
    <xf numFmtId="0" fontId="0" fillId="0" borderId="10" xfId="0" applyBorder="1"/>
    <xf numFmtId="0" fontId="0" fillId="2" borderId="2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 VS F2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1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val>
            <c:numRef>
              <c:f>Sheet1!$P$6:$P$15</c:f>
              <c:numCache>
                <c:formatCode>General</c:formatCode>
                <c:ptCount val="10"/>
                <c:pt idx="0">
                  <c:v>390.137</c:v>
                </c:pt>
                <c:pt idx="1">
                  <c:v>435.83100000000002</c:v>
                </c:pt>
                <c:pt idx="2">
                  <c:v>581.14499999999998</c:v>
                </c:pt>
                <c:pt idx="3">
                  <c:v>270.99900000000002</c:v>
                </c:pt>
                <c:pt idx="4">
                  <c:v>980.53300000000002</c:v>
                </c:pt>
                <c:pt idx="5">
                  <c:v>595.21600000000001</c:v>
                </c:pt>
                <c:pt idx="6">
                  <c:v>420.72399999999999</c:v>
                </c:pt>
                <c:pt idx="7">
                  <c:v>582.44399999999996</c:v>
                </c:pt>
                <c:pt idx="8">
                  <c:v>401.697</c:v>
                </c:pt>
                <c:pt idx="9">
                  <c:v>340.77699999999999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E-4E91-9F7B-22BC7041CB85}"/>
            </c:ext>
          </c:extLst>
        </c:ser>
        <c:ser>
          <c:idx val="1"/>
          <c:order val="1"/>
          <c:spPr>
            <a:ln w="9525" cap="rnd">
              <a:solidFill>
                <a:schemeClr val="accent2"/>
              </a:solidFill>
              <a:round/>
            </a:ln>
            <a:effectLst/>
          </c:spPr>
          <c:val>
            <c:numRef>
              <c:f>Sheet1!$Q$6:$Q$15</c:f>
              <c:numCache>
                <c:formatCode>General</c:formatCode>
                <c:ptCount val="10"/>
                <c:pt idx="0">
                  <c:v>3129.24</c:v>
                </c:pt>
                <c:pt idx="1">
                  <c:v>1750.4</c:v>
                </c:pt>
                <c:pt idx="2">
                  <c:v>2209.62</c:v>
                </c:pt>
                <c:pt idx="3">
                  <c:v>2373</c:v>
                </c:pt>
                <c:pt idx="4">
                  <c:v>1887.15</c:v>
                </c:pt>
                <c:pt idx="5">
                  <c:v>1394.31</c:v>
                </c:pt>
                <c:pt idx="6">
                  <c:v>970.23400000000004</c:v>
                </c:pt>
                <c:pt idx="7">
                  <c:v>1315.26</c:v>
                </c:pt>
                <c:pt idx="8">
                  <c:v>942.55799999999999</c:v>
                </c:pt>
                <c:pt idx="9">
                  <c:v>903.73400000000004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2E-4E91-9F7B-22BC7041CB85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accent3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4"/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</c:bandFmts>
        <c:axId val="593013944"/>
        <c:axId val="331196464"/>
        <c:axId val="825163280"/>
      </c:surfaceChart>
      <c:catAx>
        <c:axId val="5930139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96464"/>
        <c:crosses val="autoZero"/>
        <c:auto val="1"/>
        <c:lblAlgn val="ctr"/>
        <c:lblOffset val="100"/>
        <c:noMultiLvlLbl val="0"/>
      </c:catAx>
      <c:valAx>
        <c:axId val="33119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013944"/>
        <c:crosses val="autoZero"/>
        <c:crossBetween val="midCat"/>
      </c:valAx>
      <c:serAx>
        <c:axId val="8251632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9646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 VS F2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yVal>
            <c:numRef>
              <c:f>Sheet1!$P$6:$P$15</c:f>
              <c:numCache>
                <c:formatCode>General</c:formatCode>
                <c:ptCount val="10"/>
                <c:pt idx="0">
                  <c:v>390.137</c:v>
                </c:pt>
                <c:pt idx="1">
                  <c:v>435.83100000000002</c:v>
                </c:pt>
                <c:pt idx="2">
                  <c:v>581.14499999999998</c:v>
                </c:pt>
                <c:pt idx="3">
                  <c:v>270.99900000000002</c:v>
                </c:pt>
                <c:pt idx="4">
                  <c:v>980.53300000000002</c:v>
                </c:pt>
                <c:pt idx="5">
                  <c:v>595.21600000000001</c:v>
                </c:pt>
                <c:pt idx="6">
                  <c:v>420.72399999999999</c:v>
                </c:pt>
                <c:pt idx="7">
                  <c:v>582.44399999999996</c:v>
                </c:pt>
                <c:pt idx="8">
                  <c:v>401.697</c:v>
                </c:pt>
                <c:pt idx="9">
                  <c:v>340.77699999999999</c:v>
                </c:pt>
              </c:numCache>
            </c:numRef>
          </c:yVal>
          <c:bubbleSize>
            <c:numRef>
              <c:f>Sheet1!$Q$6:$Q$15</c:f>
              <c:numCache>
                <c:formatCode>General</c:formatCode>
                <c:ptCount val="10"/>
                <c:pt idx="0">
                  <c:v>3129.24</c:v>
                </c:pt>
                <c:pt idx="1">
                  <c:v>1750.4</c:v>
                </c:pt>
                <c:pt idx="2">
                  <c:v>2209.62</c:v>
                </c:pt>
                <c:pt idx="3">
                  <c:v>2373</c:v>
                </c:pt>
                <c:pt idx="4">
                  <c:v>1887.15</c:v>
                </c:pt>
                <c:pt idx="5">
                  <c:v>1394.31</c:v>
                </c:pt>
                <c:pt idx="6">
                  <c:v>970.23400000000004</c:v>
                </c:pt>
                <c:pt idx="7">
                  <c:v>1315.26</c:v>
                </c:pt>
                <c:pt idx="8">
                  <c:v>942.55799999999999</c:v>
                </c:pt>
                <c:pt idx="9">
                  <c:v>903.73400000000004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F28E-46F6-A06D-E6F105B37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870937528"/>
        <c:axId val="870937888"/>
      </c:bubbleChart>
      <c:valAx>
        <c:axId val="870937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937888"/>
        <c:crosses val="autoZero"/>
        <c:crossBetween val="midCat"/>
      </c:valAx>
      <c:valAx>
        <c:axId val="87093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937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Sheet1!$P$6:$P$15</c:f>
              <c:numCache>
                <c:formatCode>General</c:formatCode>
                <c:ptCount val="10"/>
                <c:pt idx="0">
                  <c:v>390.137</c:v>
                </c:pt>
                <c:pt idx="1">
                  <c:v>435.83100000000002</c:v>
                </c:pt>
                <c:pt idx="2">
                  <c:v>581.14499999999998</c:v>
                </c:pt>
                <c:pt idx="3">
                  <c:v>270.99900000000002</c:v>
                </c:pt>
                <c:pt idx="4">
                  <c:v>980.53300000000002</c:v>
                </c:pt>
                <c:pt idx="5">
                  <c:v>595.21600000000001</c:v>
                </c:pt>
                <c:pt idx="6">
                  <c:v>420.72399999999999</c:v>
                </c:pt>
                <c:pt idx="7">
                  <c:v>582.44399999999996</c:v>
                </c:pt>
                <c:pt idx="8">
                  <c:v>401.697</c:v>
                </c:pt>
                <c:pt idx="9">
                  <c:v>340.77699999999999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D3-4A19-B06E-571829978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392168"/>
        <c:axId val="584386768"/>
      </c:scatterChart>
      <c:valAx>
        <c:axId val="584392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386768"/>
        <c:crosses val="autoZero"/>
        <c:crossBetween val="midCat"/>
      </c:valAx>
      <c:valAx>
        <c:axId val="58438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392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Sheet1!$Q$6:$Q$15</c:f>
              <c:numCache>
                <c:formatCode>General</c:formatCode>
                <c:ptCount val="10"/>
                <c:pt idx="0">
                  <c:v>3129.24</c:v>
                </c:pt>
                <c:pt idx="1">
                  <c:v>1750.4</c:v>
                </c:pt>
                <c:pt idx="2">
                  <c:v>2209.62</c:v>
                </c:pt>
                <c:pt idx="3">
                  <c:v>2373</c:v>
                </c:pt>
                <c:pt idx="4">
                  <c:v>1887.15</c:v>
                </c:pt>
                <c:pt idx="5">
                  <c:v>1394.31</c:v>
                </c:pt>
                <c:pt idx="6">
                  <c:v>970.23400000000004</c:v>
                </c:pt>
                <c:pt idx="7">
                  <c:v>1315.26</c:v>
                </c:pt>
                <c:pt idx="8">
                  <c:v>942.55799999999999</c:v>
                </c:pt>
                <c:pt idx="9">
                  <c:v>903.73400000000004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3D-4A83-822D-83FD17364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351344"/>
        <c:axId val="863351704"/>
      </c:scatterChart>
      <c:valAx>
        <c:axId val="86335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351704"/>
        <c:crosses val="autoZero"/>
        <c:crossBetween val="midCat"/>
      </c:valAx>
      <c:valAx>
        <c:axId val="86335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35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197556</xdr:colOff>
      <xdr:row>4</xdr:row>
      <xdr:rowOff>155928</xdr:rowOff>
    </xdr:from>
    <xdr:to>
      <xdr:col>25</xdr:col>
      <xdr:colOff>532695</xdr:colOff>
      <xdr:row>19</xdr:row>
      <xdr:rowOff>147461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BF355E-69FE-F69C-1AE9-F3123D326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211667</xdr:colOff>
      <xdr:row>21</xdr:row>
      <xdr:rowOff>124178</xdr:rowOff>
    </xdr:from>
    <xdr:to>
      <xdr:col>25</xdr:col>
      <xdr:colOff>536223</xdr:colOff>
      <xdr:row>36</xdr:row>
      <xdr:rowOff>115712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2F39CA-CBC5-BEF3-B402-08B9B4A7C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264582</xdr:colOff>
      <xdr:row>39</xdr:row>
      <xdr:rowOff>32453</xdr:rowOff>
    </xdr:from>
    <xdr:to>
      <xdr:col>25</xdr:col>
      <xdr:colOff>589138</xdr:colOff>
      <xdr:row>54</xdr:row>
      <xdr:rowOff>23987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94C1CE-2A6B-ACEA-E49A-4E4DFAD94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250472</xdr:colOff>
      <xdr:row>57</xdr:row>
      <xdr:rowOff>4235</xdr:rowOff>
    </xdr:from>
    <xdr:to>
      <xdr:col>25</xdr:col>
      <xdr:colOff>575028</xdr:colOff>
      <xdr:row>71</xdr:row>
      <xdr:rowOff>172157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D95F57-274C-2C46-BB9E-238E8382E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518583</xdr:colOff>
      <xdr:row>0</xdr:row>
      <xdr:rowOff>148167</xdr:rowOff>
    </xdr:from>
    <xdr:to>
      <xdr:col>23</xdr:col>
      <xdr:colOff>359833</xdr:colOff>
      <xdr:row>3</xdr:row>
      <xdr:rowOff>137583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EC65DB-2847-666B-593D-F7D607FC03F8}"/>
            </a:ext>
          </a:extLst>
        </xdr:cNvPr>
        <xdr:cNvSpPr txBox="1"/>
      </xdr:nvSpPr>
      <xdr:spPr>
        <a:xfrm>
          <a:off x="12901083" y="148167"/>
          <a:ext cx="1682750" cy="5291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>
              <a:solidFill>
                <a:srgbClr val="FF0000"/>
              </a:solidFill>
            </a:rPr>
            <a:t>CHARTS</a:t>
          </a:r>
        </a:p>
      </xdr:txBody>
    </xdr:sp>
    <xdr:clientData/>
  </xdr:twoCellAnchor>
  <xdr:oneCellAnchor>
    <xdr:from>
      <xdr:col>28</xdr:col>
      <xdr:colOff>264583</xdr:colOff>
      <xdr:row>12</xdr:row>
      <xdr:rowOff>10583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3E20695-7C81-CA56-609C-D1CA08BD3638}"/>
            </a:ext>
          </a:extLst>
        </xdr:cNvPr>
        <xdr:cNvSpPr txBox="1"/>
      </xdr:nvSpPr>
      <xdr:spPr>
        <a:xfrm>
          <a:off x="17557750" y="22330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648CB-274C-493F-8787-D464D32BD78F}">
  <dimension ref="C2:Z106"/>
  <sheetViews>
    <sheetView tabSelected="1" topLeftCell="B74" zoomScale="59" workbookViewId="0">
      <selection activeCell="P100" sqref="P100"/>
    </sheetView>
  </sheetViews>
  <sheetFormatPr defaultRowHeight="14.5" x14ac:dyDescent="0.35"/>
  <cols>
    <col min="1" max="1" width="10.26953125" customWidth="1"/>
  </cols>
  <sheetData>
    <row r="2" spans="3:26" x14ac:dyDescent="0.35">
      <c r="K2" s="1"/>
      <c r="L2" s="1"/>
      <c r="M2" s="1"/>
      <c r="N2" s="1"/>
    </row>
    <row r="3" spans="3:26" x14ac:dyDescent="0.35">
      <c r="K3" s="1"/>
      <c r="L3" s="1"/>
      <c r="M3" s="1"/>
      <c r="N3" s="1"/>
    </row>
    <row r="4" spans="3:26" ht="15" thickBot="1" x14ac:dyDescent="0.4">
      <c r="K4" s="1"/>
      <c r="L4" s="1"/>
      <c r="M4" s="1"/>
      <c r="N4" s="1"/>
    </row>
    <row r="5" spans="3:26" ht="15.5" thickTop="1" thickBot="1" x14ac:dyDescent="0.4">
      <c r="C5" s="31" t="s">
        <v>1</v>
      </c>
      <c r="D5" s="31" t="s">
        <v>2</v>
      </c>
      <c r="E5" s="31" t="s">
        <v>3</v>
      </c>
      <c r="F5" s="32"/>
      <c r="G5" s="32" t="s">
        <v>4</v>
      </c>
      <c r="H5" s="33"/>
      <c r="I5" s="34"/>
      <c r="J5" s="32" t="s">
        <v>5</v>
      </c>
      <c r="K5" s="33"/>
      <c r="L5" s="34" t="s">
        <v>7</v>
      </c>
      <c r="M5" s="31" t="s">
        <v>8</v>
      </c>
      <c r="N5" s="33" t="s">
        <v>8</v>
      </c>
      <c r="P5" s="40" t="s">
        <v>4</v>
      </c>
      <c r="Q5" s="40" t="s">
        <v>5</v>
      </c>
      <c r="S5" s="42"/>
      <c r="T5" s="43"/>
      <c r="U5" s="43"/>
      <c r="V5" s="43"/>
      <c r="W5" s="43"/>
      <c r="X5" s="43"/>
      <c r="Y5" s="43"/>
      <c r="Z5" s="44"/>
    </row>
    <row r="6" spans="3:26" ht="15.5" thickTop="1" thickBot="1" x14ac:dyDescent="0.4">
      <c r="C6" s="21" t="s">
        <v>6</v>
      </c>
      <c r="D6" s="22" t="s">
        <v>0</v>
      </c>
      <c r="E6" s="22">
        <v>1</v>
      </c>
      <c r="F6" s="23"/>
      <c r="G6" s="24">
        <v>333.06598231561497</v>
      </c>
      <c r="H6" s="24"/>
      <c r="I6" s="23"/>
      <c r="J6" s="24">
        <v>3490.97110410087</v>
      </c>
      <c r="K6" s="25"/>
      <c r="L6" s="25">
        <v>0.63200000000000001</v>
      </c>
      <c r="M6" s="25">
        <f>AVERAGE(G6:G15)</f>
        <v>390.13681984426353</v>
      </c>
      <c r="N6" s="26">
        <f>AVERAGE(J6:J15)</f>
        <v>3129.240854017974</v>
      </c>
      <c r="P6" s="41">
        <v>390.137</v>
      </c>
      <c r="Q6" s="41">
        <v>3129.24</v>
      </c>
      <c r="S6" s="45"/>
      <c r="Z6" s="46"/>
    </row>
    <row r="7" spans="3:26" ht="15" thickTop="1" x14ac:dyDescent="0.35">
      <c r="C7" s="15"/>
      <c r="D7" s="16"/>
      <c r="E7" s="16">
        <v>2</v>
      </c>
      <c r="F7" s="17"/>
      <c r="G7" s="18">
        <v>284.954479386191</v>
      </c>
      <c r="H7" s="18"/>
      <c r="I7" s="17"/>
      <c r="J7" s="18">
        <v>945.89637774724304</v>
      </c>
      <c r="K7" s="19"/>
      <c r="L7" s="19">
        <v>0.65200000000000002</v>
      </c>
      <c r="M7" s="19"/>
      <c r="N7" s="20"/>
      <c r="P7" s="41">
        <v>435.83100000000002</v>
      </c>
      <c r="Q7" s="41">
        <v>1750.4</v>
      </c>
      <c r="S7" s="45"/>
      <c r="Z7" s="46"/>
    </row>
    <row r="8" spans="3:26" x14ac:dyDescent="0.35">
      <c r="C8" s="10"/>
      <c r="D8" s="2"/>
      <c r="E8" s="2">
        <v>3</v>
      </c>
      <c r="F8" s="3"/>
      <c r="G8" s="5">
        <v>387.98289057359801</v>
      </c>
      <c r="H8" s="5"/>
      <c r="I8" s="3"/>
      <c r="J8" s="5">
        <v>3444.63633449091</v>
      </c>
      <c r="K8" s="4"/>
      <c r="L8" s="4">
        <v>0.65400000000000003</v>
      </c>
      <c r="M8" s="4"/>
      <c r="N8" s="11"/>
      <c r="P8" s="41">
        <v>581.14499999999998</v>
      </c>
      <c r="Q8" s="41">
        <v>2209.62</v>
      </c>
      <c r="S8" s="45"/>
      <c r="Z8" s="46"/>
    </row>
    <row r="9" spans="3:26" x14ac:dyDescent="0.35">
      <c r="C9" s="10"/>
      <c r="D9" s="2"/>
      <c r="E9" s="2">
        <v>4</v>
      </c>
      <c r="F9" s="3"/>
      <c r="G9" s="5">
        <v>371.45160062227302</v>
      </c>
      <c r="H9" s="5"/>
      <c r="I9" s="3"/>
      <c r="J9" s="5">
        <v>3463.7543472287398</v>
      </c>
      <c r="K9" s="4"/>
      <c r="L9" s="4">
        <v>0.66600000000000004</v>
      </c>
      <c r="M9" s="4"/>
      <c r="N9" s="11"/>
      <c r="P9" s="41">
        <v>270.99900000000002</v>
      </c>
      <c r="Q9" s="41">
        <v>2373</v>
      </c>
      <c r="S9" s="45"/>
      <c r="Z9" s="46"/>
    </row>
    <row r="10" spans="3:26" x14ac:dyDescent="0.35">
      <c r="C10" s="10"/>
      <c r="D10" s="2"/>
      <c r="E10" s="2">
        <v>5</v>
      </c>
      <c r="F10" s="3"/>
      <c r="G10" s="5">
        <v>427.240473914132</v>
      </c>
      <c r="H10" s="5"/>
      <c r="I10" s="3"/>
      <c r="J10" s="5">
        <v>3423.5157766920602</v>
      </c>
      <c r="K10" s="4"/>
      <c r="L10" s="4">
        <v>0.65400000000000003</v>
      </c>
      <c r="M10" s="4"/>
      <c r="N10" s="11"/>
      <c r="P10" s="41">
        <v>980.53300000000002</v>
      </c>
      <c r="Q10" s="41">
        <v>1887.15</v>
      </c>
      <c r="S10" s="45"/>
      <c r="Z10" s="46"/>
    </row>
    <row r="11" spans="3:26" x14ac:dyDescent="0.35">
      <c r="C11" s="10"/>
      <c r="D11" s="2"/>
      <c r="E11" s="2">
        <v>6</v>
      </c>
      <c r="F11" s="3"/>
      <c r="G11" s="5">
        <v>448.24036213454298</v>
      </c>
      <c r="H11" s="5"/>
      <c r="I11" s="3"/>
      <c r="J11" s="5">
        <v>3264.10895702681</v>
      </c>
      <c r="K11" s="4"/>
      <c r="L11" s="4">
        <v>0.64300000000000002</v>
      </c>
      <c r="M11" s="4"/>
      <c r="N11" s="11"/>
      <c r="P11" s="41">
        <v>595.21600000000001</v>
      </c>
      <c r="Q11" s="41">
        <v>1394.31</v>
      </c>
      <c r="S11" s="45"/>
      <c r="Z11" s="46"/>
    </row>
    <row r="12" spans="3:26" x14ac:dyDescent="0.35">
      <c r="C12" s="10"/>
      <c r="D12" s="2"/>
      <c r="E12" s="2">
        <v>7</v>
      </c>
      <c r="F12" s="3"/>
      <c r="G12" s="5">
        <v>440.158581748529</v>
      </c>
      <c r="H12" s="5"/>
      <c r="I12" s="3"/>
      <c r="J12" s="5">
        <v>3314.5686679349601</v>
      </c>
      <c r="K12" s="4"/>
      <c r="L12" s="4">
        <v>0.62</v>
      </c>
      <c r="M12" s="4"/>
      <c r="N12" s="11"/>
      <c r="P12" s="41">
        <v>420.72399999999999</v>
      </c>
      <c r="Q12" s="41">
        <v>970.23400000000004</v>
      </c>
      <c r="S12" s="45"/>
      <c r="Z12" s="46"/>
    </row>
    <row r="13" spans="3:26" x14ac:dyDescent="0.35">
      <c r="C13" s="10"/>
      <c r="D13" s="2"/>
      <c r="E13" s="2">
        <v>8</v>
      </c>
      <c r="F13" s="3"/>
      <c r="G13" s="5">
        <v>372.57204793306897</v>
      </c>
      <c r="H13" s="5"/>
      <c r="I13" s="3"/>
      <c r="J13" s="5">
        <v>3369.1864612884801</v>
      </c>
      <c r="K13" s="4"/>
      <c r="L13" s="4">
        <v>0.64300000000000002</v>
      </c>
      <c r="M13" s="4"/>
      <c r="N13" s="11"/>
      <c r="P13" s="41">
        <v>582.44399999999996</v>
      </c>
      <c r="Q13" s="41">
        <v>1315.26</v>
      </c>
      <c r="S13" s="45"/>
      <c r="Z13" s="46"/>
    </row>
    <row r="14" spans="3:26" x14ac:dyDescent="0.35">
      <c r="C14" s="10"/>
      <c r="D14" s="2"/>
      <c r="E14" s="2">
        <v>9</v>
      </c>
      <c r="F14" s="3"/>
      <c r="G14" s="5">
        <v>427.03252509599702</v>
      </c>
      <c r="H14" s="5"/>
      <c r="I14" s="3"/>
      <c r="J14" s="5">
        <v>3289.70888884239</v>
      </c>
      <c r="K14" s="4"/>
      <c r="L14" s="4">
        <v>0.53100000000000003</v>
      </c>
      <c r="M14" s="4"/>
      <c r="N14" s="11"/>
      <c r="P14" s="41">
        <v>401.697</v>
      </c>
      <c r="Q14" s="41">
        <v>942.55799999999999</v>
      </c>
      <c r="S14" s="45"/>
      <c r="Z14" s="46"/>
    </row>
    <row r="15" spans="3:26" ht="15" thickBot="1" x14ac:dyDescent="0.4">
      <c r="C15" s="12"/>
      <c r="D15" s="6"/>
      <c r="E15" s="6">
        <v>10</v>
      </c>
      <c r="F15" s="7"/>
      <c r="G15" s="8">
        <v>408.66925471868802</v>
      </c>
      <c r="H15" s="8"/>
      <c r="I15" s="7"/>
      <c r="J15" s="8">
        <v>3286.06162482728</v>
      </c>
      <c r="K15" s="9"/>
      <c r="L15" s="9">
        <v>0.53100000000000003</v>
      </c>
      <c r="M15" s="9"/>
      <c r="N15" s="13"/>
      <c r="P15" s="41">
        <v>340.77699999999999</v>
      </c>
      <c r="Q15" s="41">
        <v>903.73400000000004</v>
      </c>
      <c r="S15" s="45"/>
      <c r="Z15" s="46"/>
    </row>
    <row r="16" spans="3:26" ht="15.5" thickTop="1" thickBot="1" x14ac:dyDescent="0.4">
      <c r="C16" s="21" t="s">
        <v>9</v>
      </c>
      <c r="D16" s="22" t="s">
        <v>0</v>
      </c>
      <c r="E16" s="22">
        <v>1</v>
      </c>
      <c r="F16" s="23"/>
      <c r="G16" s="24">
        <v>470.51499999999999</v>
      </c>
      <c r="H16" s="25"/>
      <c r="I16" s="23"/>
      <c r="J16" s="24">
        <v>1656.665</v>
      </c>
      <c r="K16" s="25"/>
      <c r="L16" s="22">
        <v>0.65400000000000003</v>
      </c>
      <c r="M16" s="22">
        <f>AVERAGE(G16:G25)</f>
        <v>435.83059999999995</v>
      </c>
      <c r="N16" s="28">
        <f>AVERAGE(J16:J25)</f>
        <v>1750.4014999999999</v>
      </c>
      <c r="S16" s="45"/>
      <c r="Z16" s="46"/>
    </row>
    <row r="17" spans="3:26" ht="15" thickTop="1" x14ac:dyDescent="0.35">
      <c r="C17" s="15"/>
      <c r="D17" s="16"/>
      <c r="E17" s="16">
        <v>2</v>
      </c>
      <c r="F17" s="17"/>
      <c r="G17" s="18">
        <v>378.35300000000001</v>
      </c>
      <c r="H17" s="19"/>
      <c r="I17" s="17"/>
      <c r="J17" s="18">
        <v>1839.27</v>
      </c>
      <c r="K17" s="19"/>
      <c r="L17" s="16">
        <v>0.626</v>
      </c>
      <c r="M17" s="16"/>
      <c r="N17" s="27"/>
      <c r="S17" s="45"/>
      <c r="Z17" s="46"/>
    </row>
    <row r="18" spans="3:26" x14ac:dyDescent="0.35">
      <c r="C18" s="10"/>
      <c r="D18" s="2"/>
      <c r="E18" s="2">
        <v>3</v>
      </c>
      <c r="F18" s="3"/>
      <c r="G18" s="5">
        <v>449.74299999999999</v>
      </c>
      <c r="H18" s="4"/>
      <c r="I18" s="3"/>
      <c r="J18" s="5">
        <v>1676.5</v>
      </c>
      <c r="K18" s="4"/>
      <c r="L18" s="2">
        <v>0.58299999999999996</v>
      </c>
      <c r="M18" s="2"/>
      <c r="N18" s="14"/>
      <c r="S18" s="45"/>
      <c r="Z18" s="46"/>
    </row>
    <row r="19" spans="3:26" x14ac:dyDescent="0.35">
      <c r="C19" s="10"/>
      <c r="D19" s="2"/>
      <c r="E19" s="2">
        <v>4</v>
      </c>
      <c r="F19" s="3"/>
      <c r="G19" s="5">
        <v>435.512</v>
      </c>
      <c r="H19" s="4"/>
      <c r="I19" s="3"/>
      <c r="J19" s="5">
        <v>1746.385</v>
      </c>
      <c r="K19" s="4"/>
      <c r="L19" s="2">
        <v>0.61199999999999999</v>
      </c>
      <c r="M19" s="2"/>
      <c r="N19" s="14"/>
      <c r="S19" s="45"/>
      <c r="Z19" s="46"/>
    </row>
    <row r="20" spans="3:26" x14ac:dyDescent="0.35">
      <c r="C20" s="10"/>
      <c r="D20" s="2"/>
      <c r="E20" s="2">
        <v>5</v>
      </c>
      <c r="F20" s="3"/>
      <c r="G20" s="5">
        <v>420.25599999999997</v>
      </c>
      <c r="H20" s="4"/>
      <c r="I20" s="3"/>
      <c r="J20" s="5">
        <v>1714.11</v>
      </c>
      <c r="K20" s="4"/>
      <c r="L20" s="2">
        <v>0.626</v>
      </c>
      <c r="M20" s="2"/>
      <c r="N20" s="14"/>
      <c r="S20" s="45"/>
      <c r="Z20" s="46"/>
    </row>
    <row r="21" spans="3:26" x14ac:dyDescent="0.35">
      <c r="C21" s="10"/>
      <c r="D21" s="2"/>
      <c r="E21" s="2">
        <v>6</v>
      </c>
      <c r="F21" s="3"/>
      <c r="G21" s="5">
        <v>432.87700000000001</v>
      </c>
      <c r="H21" s="4"/>
      <c r="I21" s="3"/>
      <c r="J21" s="5">
        <v>1769.403</v>
      </c>
      <c r="K21" s="4"/>
      <c r="L21" s="2">
        <v>0.59799999999999998</v>
      </c>
      <c r="M21" s="2"/>
      <c r="N21" s="14"/>
      <c r="S21" s="45"/>
      <c r="Z21" s="46"/>
    </row>
    <row r="22" spans="3:26" x14ac:dyDescent="0.35">
      <c r="C22" s="10"/>
      <c r="D22" s="2"/>
      <c r="E22" s="2">
        <v>7</v>
      </c>
      <c r="F22" s="3"/>
      <c r="G22" s="5">
        <v>473.25099999999998</v>
      </c>
      <c r="H22" s="4"/>
      <c r="I22" s="3"/>
      <c r="J22" s="5">
        <v>1822.606</v>
      </c>
      <c r="K22" s="4"/>
      <c r="L22" s="2">
        <v>0.59799999999999998</v>
      </c>
      <c r="M22" s="2"/>
      <c r="N22" s="14"/>
      <c r="S22" s="45"/>
      <c r="Z22" s="46"/>
    </row>
    <row r="23" spans="3:26" x14ac:dyDescent="0.35">
      <c r="C23" s="10"/>
      <c r="D23" s="2"/>
      <c r="E23" s="2">
        <v>8</v>
      </c>
      <c r="F23" s="3"/>
      <c r="G23" s="5">
        <v>410.27</v>
      </c>
      <c r="H23" s="4"/>
      <c r="I23" s="3"/>
      <c r="J23" s="5">
        <v>1738.443</v>
      </c>
      <c r="K23" s="4"/>
      <c r="L23" s="2">
        <v>0.61199999999999999</v>
      </c>
      <c r="M23" s="2"/>
      <c r="N23" s="14"/>
      <c r="S23" s="45"/>
      <c r="Z23" s="46"/>
    </row>
    <row r="24" spans="3:26" x14ac:dyDescent="0.35">
      <c r="C24" s="10"/>
      <c r="D24" s="2"/>
      <c r="E24" s="2">
        <v>9</v>
      </c>
      <c r="F24" s="3"/>
      <c r="G24" s="5">
        <v>477.00200000000001</v>
      </c>
      <c r="H24" s="4"/>
      <c r="I24" s="3"/>
      <c r="J24" s="5">
        <v>1757.1579999999999</v>
      </c>
      <c r="K24" s="4"/>
      <c r="L24" s="2">
        <v>0.64</v>
      </c>
      <c r="M24" s="2"/>
      <c r="N24" s="14"/>
      <c r="S24" s="45"/>
      <c r="Z24" s="46"/>
    </row>
    <row r="25" spans="3:26" ht="15" thickBot="1" x14ac:dyDescent="0.4">
      <c r="C25" s="12"/>
      <c r="D25" s="6"/>
      <c r="E25" s="6">
        <v>10</v>
      </c>
      <c r="F25" s="7"/>
      <c r="G25" s="8">
        <v>410.52699999999999</v>
      </c>
      <c r="H25" s="9"/>
      <c r="I25" s="7"/>
      <c r="J25" s="8">
        <v>1783.4749999999999</v>
      </c>
      <c r="K25" s="9"/>
      <c r="L25" s="6">
        <v>0.626</v>
      </c>
      <c r="M25" s="6"/>
      <c r="N25" s="29"/>
      <c r="S25" s="45"/>
      <c r="Z25" s="46"/>
    </row>
    <row r="26" spans="3:26" ht="15.5" thickTop="1" thickBot="1" x14ac:dyDescent="0.4">
      <c r="C26" s="21" t="s">
        <v>6</v>
      </c>
      <c r="D26" s="22" t="s">
        <v>10</v>
      </c>
      <c r="E26" s="22">
        <v>1</v>
      </c>
      <c r="F26" s="23"/>
      <c r="G26" s="24">
        <v>586.63699999999994</v>
      </c>
      <c r="H26" s="25"/>
      <c r="I26" s="23"/>
      <c r="J26" s="24">
        <v>1901.43</v>
      </c>
      <c r="K26" s="25"/>
      <c r="L26" s="22">
        <v>0.67800000000000005</v>
      </c>
      <c r="M26" s="22">
        <f>AVERAGE(G26:G35)</f>
        <v>581.14470000000006</v>
      </c>
      <c r="N26" s="28">
        <f>AVERAGE(J26:J35)</f>
        <v>2209.6202999999996</v>
      </c>
      <c r="S26" s="45"/>
      <c r="Z26" s="46"/>
    </row>
    <row r="27" spans="3:26" ht="15" thickTop="1" x14ac:dyDescent="0.35">
      <c r="C27" s="15"/>
      <c r="D27" s="16"/>
      <c r="E27" s="16">
        <v>2</v>
      </c>
      <c r="F27" s="17"/>
      <c r="G27" s="18">
        <v>625.83100000000002</v>
      </c>
      <c r="H27" s="19"/>
      <c r="I27" s="17"/>
      <c r="J27" s="18">
        <v>2207.5279999999998</v>
      </c>
      <c r="K27" s="19"/>
      <c r="L27" s="16">
        <v>0.56699999999999995</v>
      </c>
      <c r="M27" s="16"/>
      <c r="N27" s="27"/>
      <c r="S27" s="45"/>
      <c r="Z27" s="46"/>
    </row>
    <row r="28" spans="3:26" x14ac:dyDescent="0.35">
      <c r="C28" s="10"/>
      <c r="D28" s="2"/>
      <c r="E28" s="2">
        <v>3</v>
      </c>
      <c r="F28" s="3"/>
      <c r="G28" s="5">
        <v>532.41899999999998</v>
      </c>
      <c r="H28" s="4"/>
      <c r="I28" s="3"/>
      <c r="J28" s="5">
        <v>2307.1419999999998</v>
      </c>
      <c r="K28" s="4"/>
      <c r="L28" s="2">
        <v>0.59199999999999997</v>
      </c>
      <c r="M28" s="2"/>
      <c r="N28" s="14"/>
      <c r="S28" s="45"/>
      <c r="Z28" s="46"/>
    </row>
    <row r="29" spans="3:26" x14ac:dyDescent="0.35">
      <c r="C29" s="10"/>
      <c r="D29" s="2"/>
      <c r="E29" s="2">
        <v>4</v>
      </c>
      <c r="F29" s="3"/>
      <c r="G29" s="5">
        <v>550.15800000000002</v>
      </c>
      <c r="H29" s="4"/>
      <c r="I29" s="3"/>
      <c r="J29" s="5">
        <v>2264.5529999999999</v>
      </c>
      <c r="K29" s="4"/>
      <c r="L29" s="2">
        <v>0.505</v>
      </c>
      <c r="M29" s="2"/>
      <c r="N29" s="14"/>
      <c r="S29" s="45"/>
      <c r="Z29" s="46"/>
    </row>
    <row r="30" spans="3:26" x14ac:dyDescent="0.35">
      <c r="C30" s="10"/>
      <c r="D30" s="2"/>
      <c r="E30" s="2">
        <v>5</v>
      </c>
      <c r="F30" s="3"/>
      <c r="G30" s="5">
        <v>595.82000000000005</v>
      </c>
      <c r="H30" s="4"/>
      <c r="I30" s="3"/>
      <c r="J30" s="5">
        <v>2243.0819999999999</v>
      </c>
      <c r="K30" s="4"/>
      <c r="L30" s="2">
        <v>0.52600000000000002</v>
      </c>
      <c r="M30" s="2"/>
      <c r="N30" s="14"/>
      <c r="S30" s="45"/>
      <c r="Z30" s="46"/>
    </row>
    <row r="31" spans="3:26" x14ac:dyDescent="0.35">
      <c r="C31" s="10"/>
      <c r="D31" s="2"/>
      <c r="E31" s="2">
        <v>6</v>
      </c>
      <c r="F31" s="3"/>
      <c r="G31" s="35">
        <v>736.38199999999995</v>
      </c>
      <c r="H31" s="4"/>
      <c r="I31" s="3"/>
      <c r="J31" s="5">
        <v>2245.3490000000002</v>
      </c>
      <c r="K31" s="4"/>
      <c r="L31" s="2">
        <v>0.505</v>
      </c>
      <c r="M31" s="2"/>
      <c r="N31" s="14"/>
      <c r="S31" s="45"/>
      <c r="Z31" s="46"/>
    </row>
    <row r="32" spans="3:26" x14ac:dyDescent="0.35">
      <c r="C32" s="10"/>
      <c r="D32" s="2"/>
      <c r="E32" s="2">
        <v>7</v>
      </c>
      <c r="F32" s="3"/>
      <c r="G32" s="5">
        <v>484.048</v>
      </c>
      <c r="H32" s="4"/>
      <c r="I32" s="3"/>
      <c r="J32" s="35">
        <v>2197.2640000000001</v>
      </c>
      <c r="K32" s="4"/>
      <c r="L32" s="2">
        <v>0.47199999999999998</v>
      </c>
      <c r="M32" s="2"/>
      <c r="N32" s="14"/>
      <c r="S32" s="45"/>
      <c r="Z32" s="46"/>
    </row>
    <row r="33" spans="3:26" x14ac:dyDescent="0.35">
      <c r="C33" s="10"/>
      <c r="D33" s="2"/>
      <c r="E33" s="2">
        <v>8</v>
      </c>
      <c r="F33" s="3"/>
      <c r="G33" s="5">
        <v>542.25300000000004</v>
      </c>
      <c r="H33" s="4"/>
      <c r="I33" s="3"/>
      <c r="J33" s="5">
        <v>2240.39</v>
      </c>
      <c r="K33" s="4"/>
      <c r="L33" s="2">
        <v>0.51500000000000001</v>
      </c>
      <c r="M33" s="2"/>
      <c r="N33" s="14"/>
      <c r="S33" s="45"/>
      <c r="Z33" s="46"/>
    </row>
    <row r="34" spans="3:26" x14ac:dyDescent="0.35">
      <c r="C34" s="10"/>
      <c r="D34" s="2"/>
      <c r="E34" s="2">
        <v>9</v>
      </c>
      <c r="F34" s="3"/>
      <c r="G34" s="5">
        <v>561.01800000000003</v>
      </c>
      <c r="H34" s="4"/>
      <c r="I34" s="3"/>
      <c r="J34" s="5">
        <v>2220.4949999999999</v>
      </c>
      <c r="K34" s="4"/>
      <c r="L34" s="2">
        <v>0.52600000000000002</v>
      </c>
      <c r="M34" s="2"/>
      <c r="N34" s="14"/>
      <c r="S34" s="45"/>
      <c r="Z34" s="46"/>
    </row>
    <row r="35" spans="3:26" ht="15" thickBot="1" x14ac:dyDescent="0.4">
      <c r="C35" s="12"/>
      <c r="D35" s="6"/>
      <c r="E35" s="6">
        <v>10</v>
      </c>
      <c r="F35" s="7"/>
      <c r="G35" s="8">
        <v>596.88099999999997</v>
      </c>
      <c r="H35" s="9"/>
      <c r="I35" s="7"/>
      <c r="J35" s="8">
        <v>2268.9699999999998</v>
      </c>
      <c r="K35" s="9"/>
      <c r="L35" s="6">
        <v>0.505</v>
      </c>
      <c r="M35" s="6"/>
      <c r="N35" s="29"/>
      <c r="S35" s="45"/>
      <c r="Z35" s="46"/>
    </row>
    <row r="36" spans="3:26" ht="15.5" thickTop="1" thickBot="1" x14ac:dyDescent="0.4">
      <c r="C36" s="21" t="s">
        <v>9</v>
      </c>
      <c r="D36" s="22" t="s">
        <v>10</v>
      </c>
      <c r="E36" s="22">
        <v>1</v>
      </c>
      <c r="F36" s="23"/>
      <c r="G36" s="24">
        <v>299.23</v>
      </c>
      <c r="H36" s="25"/>
      <c r="I36" s="23"/>
      <c r="J36" s="24">
        <v>2315.373</v>
      </c>
      <c r="K36" s="25"/>
      <c r="L36" s="22">
        <v>0.61299999999999999</v>
      </c>
      <c r="M36" s="22">
        <f>AVERAGE(G36:G45)</f>
        <v>270.99880000000002</v>
      </c>
      <c r="N36" s="28">
        <f>AVERAGE(J36:J45)</f>
        <v>2372.9949999999999</v>
      </c>
      <c r="S36" s="45"/>
      <c r="Z36" s="46"/>
    </row>
    <row r="37" spans="3:26" ht="15" thickTop="1" x14ac:dyDescent="0.35">
      <c r="C37" s="15"/>
      <c r="D37" s="16" t="s">
        <v>10</v>
      </c>
      <c r="E37" s="16">
        <v>2</v>
      </c>
      <c r="F37" s="17"/>
      <c r="G37" s="18">
        <v>282.52600000000001</v>
      </c>
      <c r="H37" s="19"/>
      <c r="I37" s="17"/>
      <c r="J37" s="18">
        <v>2374.8119999999999</v>
      </c>
      <c r="K37" s="19"/>
      <c r="L37" s="16">
        <v>0.68400000000000005</v>
      </c>
      <c r="M37" s="16"/>
      <c r="N37" s="27"/>
      <c r="S37" s="45"/>
      <c r="Z37" s="46"/>
    </row>
    <row r="38" spans="3:26" x14ac:dyDescent="0.35">
      <c r="C38" s="10"/>
      <c r="D38" s="2" t="s">
        <v>10</v>
      </c>
      <c r="E38" s="2">
        <v>3</v>
      </c>
      <c r="F38" s="3"/>
      <c r="G38" s="5">
        <v>259.31</v>
      </c>
      <c r="H38" s="4"/>
      <c r="I38" s="3"/>
      <c r="J38" s="5">
        <v>2390.1640000000002</v>
      </c>
      <c r="K38" s="4"/>
      <c r="L38" s="2">
        <v>0.72699999999999998</v>
      </c>
      <c r="M38" s="2"/>
      <c r="N38" s="14"/>
      <c r="S38" s="45"/>
      <c r="Z38" s="46"/>
    </row>
    <row r="39" spans="3:26" x14ac:dyDescent="0.35">
      <c r="C39" s="10"/>
      <c r="D39" s="2" t="s">
        <v>10</v>
      </c>
      <c r="E39" s="2">
        <v>4</v>
      </c>
      <c r="F39" s="3"/>
      <c r="G39" s="5">
        <v>260.36200000000002</v>
      </c>
      <c r="H39" s="4"/>
      <c r="I39" s="3"/>
      <c r="J39" s="5">
        <v>2329.4670000000001</v>
      </c>
      <c r="K39" s="4"/>
      <c r="L39" s="2">
        <v>0.77</v>
      </c>
      <c r="M39" s="2"/>
      <c r="N39" s="14"/>
      <c r="S39" s="45"/>
      <c r="Z39" s="46"/>
    </row>
    <row r="40" spans="3:26" x14ac:dyDescent="0.35">
      <c r="C40" s="10"/>
      <c r="D40" s="2" t="s">
        <v>10</v>
      </c>
      <c r="E40" s="2">
        <v>5</v>
      </c>
      <c r="F40" s="3"/>
      <c r="G40" s="5">
        <v>268.47699999999998</v>
      </c>
      <c r="H40" s="4"/>
      <c r="I40" s="3"/>
      <c r="J40" s="5">
        <v>2375.7759999999998</v>
      </c>
      <c r="K40" s="4"/>
      <c r="L40" s="2">
        <v>0.64100000000000001</v>
      </c>
      <c r="M40" s="2"/>
      <c r="N40" s="14"/>
      <c r="S40" s="45"/>
      <c r="Z40" s="46"/>
    </row>
    <row r="41" spans="3:26" x14ac:dyDescent="0.35">
      <c r="C41" s="10"/>
      <c r="D41" s="2" t="s">
        <v>10</v>
      </c>
      <c r="E41" s="2">
        <v>6</v>
      </c>
      <c r="F41" s="3"/>
      <c r="G41" s="5">
        <v>274.08800000000002</v>
      </c>
      <c r="H41" s="4"/>
      <c r="I41" s="3"/>
      <c r="J41" s="5">
        <v>2365.3440000000001</v>
      </c>
      <c r="K41" s="4"/>
      <c r="L41" s="2">
        <v>0.627</v>
      </c>
      <c r="M41" s="2"/>
      <c r="N41" s="14"/>
      <c r="S41" s="45"/>
      <c r="Z41" s="46"/>
    </row>
    <row r="42" spans="3:26" x14ac:dyDescent="0.35">
      <c r="C42" s="10"/>
      <c r="D42" s="2" t="s">
        <v>10</v>
      </c>
      <c r="E42" s="2">
        <v>7</v>
      </c>
      <c r="F42" s="3"/>
      <c r="G42" s="5">
        <v>275.23899999999998</v>
      </c>
      <c r="H42" s="4"/>
      <c r="I42" s="3"/>
      <c r="J42" s="5">
        <v>2370.2910000000002</v>
      </c>
      <c r="K42" s="4"/>
      <c r="L42" s="2">
        <v>0.67</v>
      </c>
      <c r="M42" s="2"/>
      <c r="N42" s="14"/>
      <c r="S42" s="45"/>
      <c r="Z42" s="46"/>
    </row>
    <row r="43" spans="3:26" x14ac:dyDescent="0.35">
      <c r="C43" s="10"/>
      <c r="D43" s="2" t="s">
        <v>10</v>
      </c>
      <c r="E43" s="2">
        <v>8</v>
      </c>
      <c r="F43" s="3"/>
      <c r="G43" s="5">
        <v>268.28199999999998</v>
      </c>
      <c r="H43" s="4"/>
      <c r="I43" s="3"/>
      <c r="J43" s="5">
        <v>2351.6570000000002</v>
      </c>
      <c r="K43" s="4"/>
      <c r="L43" s="2">
        <v>0.627</v>
      </c>
      <c r="M43" s="2"/>
      <c r="N43" s="14"/>
      <c r="S43" s="45"/>
      <c r="Z43" s="46"/>
    </row>
    <row r="44" spans="3:26" x14ac:dyDescent="0.35">
      <c r="C44" s="10"/>
      <c r="D44" s="2" t="s">
        <v>10</v>
      </c>
      <c r="E44" s="2">
        <v>9</v>
      </c>
      <c r="F44" s="3"/>
      <c r="G44" s="5">
        <v>267.88200000000001</v>
      </c>
      <c r="H44" s="4"/>
      <c r="I44" s="3"/>
      <c r="J44" s="5">
        <v>2371.386</v>
      </c>
      <c r="K44" s="4"/>
      <c r="L44" s="2">
        <v>0.65600000000000003</v>
      </c>
      <c r="M44" s="2"/>
      <c r="N44" s="14"/>
      <c r="S44" s="45"/>
      <c r="Z44" s="46"/>
    </row>
    <row r="45" spans="3:26" ht="15" thickBot="1" x14ac:dyDescent="0.4">
      <c r="C45" s="12"/>
      <c r="D45" s="6" t="s">
        <v>10</v>
      </c>
      <c r="E45" s="6">
        <v>10</v>
      </c>
      <c r="F45" s="7"/>
      <c r="G45" s="8">
        <v>254.59200000000001</v>
      </c>
      <c r="H45" s="9"/>
      <c r="I45" s="7"/>
      <c r="J45" s="8">
        <v>2485.6799999999998</v>
      </c>
      <c r="K45" s="9"/>
      <c r="L45" s="6">
        <v>0.74099999999999999</v>
      </c>
      <c r="M45" s="6"/>
      <c r="N45" s="29"/>
      <c r="S45" s="45"/>
      <c r="Z45" s="46"/>
    </row>
    <row r="46" spans="3:26" ht="15.5" thickTop="1" thickBot="1" x14ac:dyDescent="0.4">
      <c r="C46" s="21" t="s">
        <v>6</v>
      </c>
      <c r="D46" s="22" t="s">
        <v>11</v>
      </c>
      <c r="E46" s="22">
        <v>1</v>
      </c>
      <c r="F46" s="23"/>
      <c r="G46" s="24">
        <v>987.91300000000001</v>
      </c>
      <c r="H46" s="25"/>
      <c r="I46" s="23"/>
      <c r="J46" s="24">
        <v>1967.357</v>
      </c>
      <c r="K46" s="25"/>
      <c r="L46" s="22">
        <v>0.54100000000000004</v>
      </c>
      <c r="M46" s="22">
        <f>AVERAGE(G46:G55)</f>
        <v>980.53320000000008</v>
      </c>
      <c r="N46" s="28">
        <f>AVERAGE(J46:J55)</f>
        <v>1887.1509000000001</v>
      </c>
      <c r="S46" s="45"/>
      <c r="Z46" s="46"/>
    </row>
    <row r="47" spans="3:26" ht="15" thickTop="1" x14ac:dyDescent="0.35">
      <c r="C47" s="15"/>
      <c r="D47" s="16" t="s">
        <v>11</v>
      </c>
      <c r="E47" s="16">
        <v>2</v>
      </c>
      <c r="F47" s="17"/>
      <c r="G47" s="18">
        <v>970.71699999999998</v>
      </c>
      <c r="H47" s="19"/>
      <c r="I47" s="17"/>
      <c r="J47" s="18">
        <v>1918.729</v>
      </c>
      <c r="K47" s="19"/>
      <c r="L47" s="16">
        <v>0.498</v>
      </c>
      <c r="M47" s="16"/>
      <c r="N47" s="36"/>
      <c r="S47" s="45"/>
      <c r="Z47" s="46"/>
    </row>
    <row r="48" spans="3:26" x14ac:dyDescent="0.35">
      <c r="C48" s="10"/>
      <c r="D48" s="2" t="s">
        <v>11</v>
      </c>
      <c r="E48" s="2">
        <v>3</v>
      </c>
      <c r="F48" s="3"/>
      <c r="G48" s="5">
        <v>968.05799999999999</v>
      </c>
      <c r="H48" s="4"/>
      <c r="I48" s="3"/>
      <c r="J48" s="5">
        <v>1952.181</v>
      </c>
      <c r="K48" s="4"/>
      <c r="L48" s="2">
        <v>0.51900000000000002</v>
      </c>
      <c r="M48" s="2"/>
      <c r="N48" s="37"/>
      <c r="S48" s="45"/>
      <c r="Z48" s="46"/>
    </row>
    <row r="49" spans="3:26" x14ac:dyDescent="0.35">
      <c r="C49" s="10"/>
      <c r="D49" s="2" t="s">
        <v>11</v>
      </c>
      <c r="E49" s="2">
        <v>4</v>
      </c>
      <c r="F49" s="3"/>
      <c r="G49" s="5">
        <v>969.60799999999995</v>
      </c>
      <c r="H49" s="4"/>
      <c r="I49" s="3"/>
      <c r="J49" s="5">
        <v>1620.83</v>
      </c>
      <c r="K49" s="4"/>
      <c r="L49" s="2">
        <v>0.51900000000000002</v>
      </c>
      <c r="M49" s="2"/>
      <c r="N49" s="37"/>
      <c r="S49" s="45"/>
      <c r="Z49" s="46"/>
    </row>
    <row r="50" spans="3:26" x14ac:dyDescent="0.35">
      <c r="C50" s="10"/>
      <c r="D50" s="2" t="s">
        <v>11</v>
      </c>
      <c r="E50" s="2">
        <v>5</v>
      </c>
      <c r="F50" s="3"/>
      <c r="G50" s="5">
        <v>973.71900000000005</v>
      </c>
      <c r="H50" s="4"/>
      <c r="I50" s="3"/>
      <c r="J50" s="5">
        <v>1913.175</v>
      </c>
      <c r="K50" s="4"/>
      <c r="L50" s="2">
        <v>0.51900000000000002</v>
      </c>
      <c r="M50" s="2"/>
      <c r="N50" s="37"/>
      <c r="S50" s="45"/>
      <c r="Z50" s="46"/>
    </row>
    <row r="51" spans="3:26" x14ac:dyDescent="0.35">
      <c r="C51" s="10"/>
      <c r="D51" s="2" t="s">
        <v>11</v>
      </c>
      <c r="E51" s="2">
        <v>6</v>
      </c>
      <c r="F51" s="3"/>
      <c r="G51" s="5">
        <v>1048.9590000000001</v>
      </c>
      <c r="H51" s="4"/>
      <c r="I51" s="3"/>
      <c r="J51" s="5">
        <v>1959.835</v>
      </c>
      <c r="K51" s="4"/>
      <c r="L51" s="2">
        <v>0.57199999999999995</v>
      </c>
      <c r="M51" s="2"/>
      <c r="N51" s="37"/>
      <c r="S51" s="45"/>
      <c r="Z51" s="46"/>
    </row>
    <row r="52" spans="3:26" x14ac:dyDescent="0.35">
      <c r="C52" s="10"/>
      <c r="D52" s="2" t="s">
        <v>11</v>
      </c>
      <c r="E52" s="2">
        <v>7</v>
      </c>
      <c r="F52" s="3"/>
      <c r="G52" s="5">
        <v>997.66399999999999</v>
      </c>
      <c r="H52" s="4"/>
      <c r="I52" s="3"/>
      <c r="J52" s="5">
        <v>1903.5630000000001</v>
      </c>
      <c r="K52" s="4"/>
      <c r="L52" s="2">
        <v>0.53</v>
      </c>
      <c r="M52" s="2"/>
      <c r="N52" s="37"/>
      <c r="S52" s="45"/>
      <c r="Z52" s="46"/>
    </row>
    <row r="53" spans="3:26" x14ac:dyDescent="0.35">
      <c r="C53" s="10"/>
      <c r="D53" s="2" t="s">
        <v>11</v>
      </c>
      <c r="E53" s="2">
        <v>8</v>
      </c>
      <c r="F53" s="3"/>
      <c r="G53" s="5">
        <v>1068.4459999999999</v>
      </c>
      <c r="H53" s="4"/>
      <c r="I53" s="3"/>
      <c r="J53" s="5">
        <v>1903.9390000000001</v>
      </c>
      <c r="K53" s="4"/>
      <c r="L53" s="2">
        <v>0.54100000000000004</v>
      </c>
      <c r="M53" s="2"/>
      <c r="N53" s="37"/>
      <c r="S53" s="45"/>
      <c r="Z53" s="46"/>
    </row>
    <row r="54" spans="3:26" x14ac:dyDescent="0.35">
      <c r="C54" s="10"/>
      <c r="D54" s="2" t="s">
        <v>11</v>
      </c>
      <c r="E54" s="2">
        <v>9</v>
      </c>
      <c r="F54" s="3"/>
      <c r="G54" s="5">
        <v>901.60599999999999</v>
      </c>
      <c r="H54" s="4"/>
      <c r="I54" s="3"/>
      <c r="J54" s="5">
        <v>1834.095</v>
      </c>
      <c r="K54" s="4"/>
      <c r="L54" s="2">
        <v>0.48799999999999999</v>
      </c>
      <c r="M54" s="2"/>
      <c r="N54" s="37"/>
      <c r="S54" s="45"/>
      <c r="Z54" s="46"/>
    </row>
    <row r="55" spans="3:26" ht="15" thickBot="1" x14ac:dyDescent="0.4">
      <c r="C55" s="12"/>
      <c r="D55" s="6" t="s">
        <v>11</v>
      </c>
      <c r="E55" s="6">
        <v>10</v>
      </c>
      <c r="F55" s="7"/>
      <c r="G55" s="8">
        <v>918.64200000000005</v>
      </c>
      <c r="H55" s="9"/>
      <c r="I55" s="7"/>
      <c r="J55" s="8">
        <v>1897.8050000000001</v>
      </c>
      <c r="K55" s="9"/>
      <c r="L55" s="6">
        <v>0.48799999999999999</v>
      </c>
      <c r="M55" s="6"/>
      <c r="N55" s="38"/>
      <c r="S55" s="45"/>
      <c r="Z55" s="46"/>
    </row>
    <row r="56" spans="3:26" ht="15.5" thickTop="1" thickBot="1" x14ac:dyDescent="0.4">
      <c r="C56" s="21" t="s">
        <v>9</v>
      </c>
      <c r="D56" s="22" t="s">
        <v>11</v>
      </c>
      <c r="E56" s="22">
        <v>1</v>
      </c>
      <c r="F56" s="23"/>
      <c r="G56" s="24">
        <v>632.74900000000002</v>
      </c>
      <c r="H56" s="25"/>
      <c r="I56" s="23"/>
      <c r="J56" s="24">
        <v>1536.6510000000001</v>
      </c>
      <c r="K56" s="25"/>
      <c r="L56" s="22">
        <v>0.73299999999999998</v>
      </c>
      <c r="M56" s="22">
        <f>AVERAGE(G56:G65)</f>
        <v>595.21630000000005</v>
      </c>
      <c r="N56" s="30">
        <f>AVERAGE(J56:J65)</f>
        <v>1394.3111000000001</v>
      </c>
      <c r="S56" s="45"/>
      <c r="Z56" s="46"/>
    </row>
    <row r="57" spans="3:26" ht="15" thickTop="1" x14ac:dyDescent="0.35">
      <c r="C57" s="15"/>
      <c r="D57" s="16" t="s">
        <v>11</v>
      </c>
      <c r="E57" s="16">
        <v>2</v>
      </c>
      <c r="F57" s="17"/>
      <c r="G57" s="18">
        <v>595.17999999999995</v>
      </c>
      <c r="H57" s="19"/>
      <c r="I57" s="17"/>
      <c r="J57" s="18">
        <v>1491.0519999999999</v>
      </c>
      <c r="K57" s="19"/>
      <c r="L57" s="16">
        <v>0.70199999999999996</v>
      </c>
      <c r="M57" s="16"/>
      <c r="N57" s="36"/>
      <c r="S57" s="45"/>
      <c r="Z57" s="46"/>
    </row>
    <row r="58" spans="3:26" x14ac:dyDescent="0.35">
      <c r="C58" s="10"/>
      <c r="D58" s="2" t="s">
        <v>11</v>
      </c>
      <c r="E58" s="2">
        <v>3</v>
      </c>
      <c r="F58" s="3"/>
      <c r="G58" s="5">
        <v>609.87400000000002</v>
      </c>
      <c r="H58" s="4"/>
      <c r="I58" s="3"/>
      <c r="J58" s="5">
        <v>1257.9100000000001</v>
      </c>
      <c r="K58" s="4"/>
      <c r="L58" s="2">
        <v>0.73299999999999998</v>
      </c>
      <c r="M58" s="2"/>
      <c r="N58" s="37"/>
      <c r="S58" s="45"/>
      <c r="Z58" s="46"/>
    </row>
    <row r="59" spans="3:26" x14ac:dyDescent="0.35">
      <c r="C59" s="10"/>
      <c r="D59" s="2" t="s">
        <v>11</v>
      </c>
      <c r="E59" s="2">
        <v>4</v>
      </c>
      <c r="F59" s="3"/>
      <c r="G59" s="5">
        <v>601.173</v>
      </c>
      <c r="H59" s="4"/>
      <c r="I59" s="3"/>
      <c r="J59" s="5">
        <v>1500.479</v>
      </c>
      <c r="K59" s="4"/>
      <c r="L59" s="2">
        <v>0.82699999999999996</v>
      </c>
      <c r="M59" s="2"/>
      <c r="N59" s="37"/>
      <c r="S59" s="45"/>
      <c r="Z59" s="46"/>
    </row>
    <row r="60" spans="3:26" x14ac:dyDescent="0.35">
      <c r="C60" s="10"/>
      <c r="D60" s="2" t="s">
        <v>11</v>
      </c>
      <c r="E60" s="2">
        <v>5</v>
      </c>
      <c r="F60" s="3"/>
      <c r="G60" s="5">
        <v>627.31600000000003</v>
      </c>
      <c r="H60" s="4"/>
      <c r="I60" s="3"/>
      <c r="J60" s="5">
        <v>1121.7809999999999</v>
      </c>
      <c r="K60" s="4"/>
      <c r="L60" s="2">
        <v>0.73299999999999998</v>
      </c>
      <c r="M60" s="2"/>
      <c r="N60" s="37"/>
      <c r="S60" s="45"/>
      <c r="Z60" s="46"/>
    </row>
    <row r="61" spans="3:26" x14ac:dyDescent="0.35">
      <c r="C61" s="10"/>
      <c r="D61" s="2" t="s">
        <v>11</v>
      </c>
      <c r="E61" s="2">
        <v>6</v>
      </c>
      <c r="F61" s="3"/>
      <c r="G61" s="5">
        <v>456.37</v>
      </c>
      <c r="H61" s="4"/>
      <c r="I61" s="3"/>
      <c r="J61" s="5">
        <v>1544.115</v>
      </c>
      <c r="K61" s="4"/>
      <c r="L61" s="2">
        <v>0.78</v>
      </c>
      <c r="M61" s="2"/>
      <c r="N61" s="37"/>
      <c r="S61" s="45"/>
      <c r="Z61" s="46"/>
    </row>
    <row r="62" spans="3:26" x14ac:dyDescent="0.35">
      <c r="C62" s="10"/>
      <c r="D62" s="2" t="s">
        <v>11</v>
      </c>
      <c r="E62" s="2">
        <v>7</v>
      </c>
      <c r="F62" s="3"/>
      <c r="G62" s="5">
        <v>570.79399999999998</v>
      </c>
      <c r="H62" s="4"/>
      <c r="I62" s="3"/>
      <c r="J62" s="5">
        <v>1382.2909999999999</v>
      </c>
      <c r="K62" s="4"/>
      <c r="L62" s="2">
        <v>0.73299999999999998</v>
      </c>
      <c r="M62" s="2"/>
      <c r="N62" s="37"/>
      <c r="S62" s="45"/>
      <c r="Z62" s="46"/>
    </row>
    <row r="63" spans="3:26" x14ac:dyDescent="0.35">
      <c r="C63" s="10"/>
      <c r="D63" s="2" t="s">
        <v>11</v>
      </c>
      <c r="E63" s="2">
        <v>8</v>
      </c>
      <c r="F63" s="3"/>
      <c r="G63" s="5">
        <v>630.14800000000002</v>
      </c>
      <c r="H63" s="4"/>
      <c r="I63" s="3"/>
      <c r="J63" s="5">
        <v>1254.8689999999999</v>
      </c>
      <c r="K63" s="4"/>
      <c r="L63" s="2">
        <v>0.76400000000000001</v>
      </c>
      <c r="M63" s="2"/>
      <c r="N63" s="37"/>
      <c r="S63" s="45"/>
      <c r="Z63" s="46"/>
    </row>
    <row r="64" spans="3:26" x14ac:dyDescent="0.35">
      <c r="C64" s="10"/>
      <c r="D64" s="2" t="s">
        <v>11</v>
      </c>
      <c r="E64" s="2">
        <v>9</v>
      </c>
      <c r="F64" s="3"/>
      <c r="G64" s="5">
        <v>607.53200000000004</v>
      </c>
      <c r="H64" s="4"/>
      <c r="I64" s="3"/>
      <c r="J64" s="5">
        <v>1395.9369999999999</v>
      </c>
      <c r="K64" s="4"/>
      <c r="L64" s="2">
        <v>0.70199999999999996</v>
      </c>
      <c r="M64" s="2"/>
      <c r="N64" s="37"/>
      <c r="S64" s="45"/>
      <c r="Z64" s="46"/>
    </row>
    <row r="65" spans="3:26" ht="15" thickBot="1" x14ac:dyDescent="0.4">
      <c r="C65" s="12"/>
      <c r="D65" s="6" t="s">
        <v>11</v>
      </c>
      <c r="E65" s="6">
        <v>10</v>
      </c>
      <c r="F65" s="7"/>
      <c r="G65" s="8">
        <v>621.02700000000004</v>
      </c>
      <c r="H65" s="9"/>
      <c r="I65" s="7"/>
      <c r="J65" s="8">
        <v>1458.0260000000001</v>
      </c>
      <c r="K65" s="9"/>
      <c r="L65" s="6">
        <v>0.72799999999999998</v>
      </c>
      <c r="M65" s="6"/>
      <c r="N65" s="38"/>
      <c r="S65" s="45"/>
      <c r="Z65" s="46"/>
    </row>
    <row r="66" spans="3:26" ht="15.5" thickTop="1" thickBot="1" x14ac:dyDescent="0.4">
      <c r="C66" s="21" t="s">
        <v>6</v>
      </c>
      <c r="D66" s="22" t="s">
        <v>12</v>
      </c>
      <c r="E66" s="22">
        <v>1</v>
      </c>
      <c r="F66" s="23"/>
      <c r="G66" s="24">
        <v>523.726</v>
      </c>
      <c r="H66" s="25"/>
      <c r="I66" s="23"/>
      <c r="J66" s="24">
        <v>1191.298</v>
      </c>
      <c r="K66" s="25"/>
      <c r="L66" s="22">
        <v>0.49099999999999999</v>
      </c>
      <c r="M66" s="22">
        <f>AVERAGE(G66:G75)</f>
        <v>420.72399999999999</v>
      </c>
      <c r="N66" s="28">
        <f>AVERAGE(J66:J75)</f>
        <v>970.23389999999995</v>
      </c>
      <c r="S66" s="45"/>
      <c r="Z66" s="46"/>
    </row>
    <row r="67" spans="3:26" ht="15" thickTop="1" x14ac:dyDescent="0.35">
      <c r="C67" s="15"/>
      <c r="D67" s="16" t="s">
        <v>12</v>
      </c>
      <c r="E67" s="16">
        <v>2</v>
      </c>
      <c r="F67" s="17"/>
      <c r="G67" s="18">
        <v>405.661</v>
      </c>
      <c r="H67" s="19"/>
      <c r="I67" s="17"/>
      <c r="J67" s="18">
        <v>1440.1479999999999</v>
      </c>
      <c r="K67" s="19"/>
      <c r="L67" s="16">
        <v>0.49099999999999999</v>
      </c>
      <c r="M67" s="16"/>
      <c r="N67" s="27"/>
      <c r="S67" s="45"/>
      <c r="Z67" s="46"/>
    </row>
    <row r="68" spans="3:26" x14ac:dyDescent="0.35">
      <c r="C68" s="10"/>
      <c r="D68" s="2" t="s">
        <v>12</v>
      </c>
      <c r="E68" s="2">
        <v>3</v>
      </c>
      <c r="F68" s="3"/>
      <c r="G68" s="5">
        <v>430.14400000000001</v>
      </c>
      <c r="H68" s="4"/>
      <c r="I68" s="3"/>
      <c r="J68" s="5">
        <v>674.35699999999997</v>
      </c>
      <c r="K68" s="4"/>
      <c r="L68" s="2">
        <v>0.51400000000000001</v>
      </c>
      <c r="M68" s="2"/>
      <c r="N68" s="14"/>
      <c r="S68" s="45"/>
      <c r="Z68" s="46"/>
    </row>
    <row r="69" spans="3:26" x14ac:dyDescent="0.35">
      <c r="C69" s="10"/>
      <c r="D69" s="2" t="s">
        <v>12</v>
      </c>
      <c r="E69" s="2">
        <v>4</v>
      </c>
      <c r="F69" s="3"/>
      <c r="G69" s="5">
        <v>408.48</v>
      </c>
      <c r="H69" s="4"/>
      <c r="I69" s="3"/>
      <c r="J69" s="5">
        <v>1065.1759999999999</v>
      </c>
      <c r="K69" s="4"/>
      <c r="L69" s="2">
        <v>0.502</v>
      </c>
      <c r="M69" s="2"/>
      <c r="N69" s="14"/>
      <c r="S69" s="45"/>
      <c r="Z69" s="46"/>
    </row>
    <row r="70" spans="3:26" x14ac:dyDescent="0.35">
      <c r="C70" s="10"/>
      <c r="D70" s="2" t="s">
        <v>12</v>
      </c>
      <c r="E70" s="2">
        <v>5</v>
      </c>
      <c r="F70" s="3"/>
      <c r="G70" s="5">
        <v>443.6</v>
      </c>
      <c r="H70" s="4"/>
      <c r="I70" s="3"/>
      <c r="J70" s="5">
        <v>1013.508</v>
      </c>
      <c r="K70" s="4"/>
      <c r="L70" s="2">
        <v>0.53600000000000003</v>
      </c>
      <c r="M70" s="2"/>
      <c r="N70" s="14"/>
      <c r="S70" s="45"/>
      <c r="Z70" s="46"/>
    </row>
    <row r="71" spans="3:26" x14ac:dyDescent="0.35">
      <c r="C71" s="10"/>
      <c r="D71" s="2" t="s">
        <v>12</v>
      </c>
      <c r="E71" s="2">
        <v>6</v>
      </c>
      <c r="F71" s="3"/>
      <c r="G71" s="5">
        <v>355.71600000000001</v>
      </c>
      <c r="H71" s="4"/>
      <c r="I71" s="3"/>
      <c r="J71" s="5">
        <v>698.45699999999999</v>
      </c>
      <c r="K71" s="4"/>
      <c r="L71" s="2">
        <v>0.54700000000000004</v>
      </c>
      <c r="M71" s="2"/>
      <c r="N71" s="14"/>
      <c r="S71" s="45"/>
      <c r="Z71" s="46"/>
    </row>
    <row r="72" spans="3:26" x14ac:dyDescent="0.35">
      <c r="C72" s="10"/>
      <c r="D72" s="2" t="s">
        <v>12</v>
      </c>
      <c r="E72" s="2">
        <v>7</v>
      </c>
      <c r="F72" s="3"/>
      <c r="G72" s="5">
        <v>422.11200000000002</v>
      </c>
      <c r="H72" s="4"/>
      <c r="I72" s="3"/>
      <c r="J72" s="5">
        <v>850.745</v>
      </c>
      <c r="K72" s="4"/>
      <c r="L72" s="2">
        <v>0.46899999999999997</v>
      </c>
      <c r="M72" s="2"/>
      <c r="N72" s="14"/>
      <c r="S72" s="45"/>
      <c r="Z72" s="46"/>
    </row>
    <row r="73" spans="3:26" x14ac:dyDescent="0.35">
      <c r="C73" s="10"/>
      <c r="D73" s="2" t="s">
        <v>12</v>
      </c>
      <c r="E73" s="2">
        <v>8</v>
      </c>
      <c r="F73" s="3"/>
      <c r="G73" s="5">
        <v>402.00900000000001</v>
      </c>
      <c r="H73" s="4"/>
      <c r="I73" s="3"/>
      <c r="J73" s="5">
        <v>983.87900000000002</v>
      </c>
      <c r="K73" s="4"/>
      <c r="L73" s="2">
        <v>0.46899999999999997</v>
      </c>
      <c r="M73" s="2"/>
      <c r="N73" s="14"/>
      <c r="S73" s="47"/>
      <c r="T73" s="48"/>
      <c r="U73" s="48"/>
      <c r="V73" s="48"/>
      <c r="W73" s="48"/>
      <c r="X73" s="48"/>
      <c r="Y73" s="48"/>
      <c r="Z73" s="49"/>
    </row>
    <row r="74" spans="3:26" x14ac:dyDescent="0.35">
      <c r="C74" s="10"/>
      <c r="D74" s="2" t="s">
        <v>12</v>
      </c>
      <c r="E74" s="2">
        <v>9</v>
      </c>
      <c r="F74" s="3"/>
      <c r="G74" s="5">
        <v>373.99900000000002</v>
      </c>
      <c r="H74" s="4"/>
      <c r="I74" s="3"/>
      <c r="J74" s="5">
        <v>820.07600000000002</v>
      </c>
      <c r="K74" s="4"/>
      <c r="L74" s="2">
        <v>0.432</v>
      </c>
      <c r="M74" s="2"/>
      <c r="N74" s="14"/>
    </row>
    <row r="75" spans="3:26" ht="15" thickBot="1" x14ac:dyDescent="0.4">
      <c r="C75" s="12"/>
      <c r="D75" s="6" t="s">
        <v>12</v>
      </c>
      <c r="E75" s="6">
        <v>10</v>
      </c>
      <c r="F75" s="7"/>
      <c r="G75" s="8">
        <v>441.79300000000001</v>
      </c>
      <c r="H75" s="9"/>
      <c r="I75" s="7"/>
      <c r="J75" s="8">
        <v>964.69500000000005</v>
      </c>
      <c r="K75" s="9"/>
      <c r="L75" s="6">
        <v>0.51200000000000001</v>
      </c>
      <c r="M75" s="6"/>
      <c r="N75" s="29"/>
    </row>
    <row r="76" spans="3:26" ht="15.5" thickTop="1" thickBot="1" x14ac:dyDescent="0.4">
      <c r="C76" s="21" t="s">
        <v>9</v>
      </c>
      <c r="D76" s="22" t="s">
        <v>12</v>
      </c>
      <c r="E76" s="22">
        <v>1</v>
      </c>
      <c r="F76" s="23"/>
      <c r="G76" s="24">
        <v>763.57399999999996</v>
      </c>
      <c r="H76" s="25"/>
      <c r="I76" s="23"/>
      <c r="J76" s="24">
        <v>2681.509</v>
      </c>
      <c r="K76" s="25"/>
      <c r="L76" s="22">
        <v>0.59</v>
      </c>
      <c r="M76" s="22">
        <f>AVERAGE(G76:G85)</f>
        <v>582.44439999999997</v>
      </c>
      <c r="N76" s="28">
        <f>AVERAGE(J76:J85)</f>
        <v>1315.2568000000001</v>
      </c>
    </row>
    <row r="77" spans="3:26" ht="15" thickTop="1" x14ac:dyDescent="0.35">
      <c r="C77" s="15"/>
      <c r="D77" s="16" t="s">
        <v>12</v>
      </c>
      <c r="E77" s="16">
        <v>2</v>
      </c>
      <c r="F77" s="17"/>
      <c r="G77" s="18">
        <v>532.92399999999998</v>
      </c>
      <c r="H77" s="19"/>
      <c r="I77" s="17"/>
      <c r="J77" s="18">
        <v>1594.13</v>
      </c>
      <c r="K77" s="19"/>
      <c r="L77" s="16">
        <v>0.57799999999999996</v>
      </c>
      <c r="M77" s="16"/>
      <c r="N77" s="27"/>
    </row>
    <row r="78" spans="3:26" x14ac:dyDescent="0.35">
      <c r="C78" s="10"/>
      <c r="D78" s="2" t="s">
        <v>12</v>
      </c>
      <c r="E78" s="2">
        <v>3</v>
      </c>
      <c r="F78" s="3"/>
      <c r="G78" s="5">
        <v>543.84799999999996</v>
      </c>
      <c r="H78" s="4"/>
      <c r="I78" s="3"/>
      <c r="J78" s="5">
        <v>1372.223</v>
      </c>
      <c r="K78" s="4"/>
      <c r="L78" s="2">
        <v>0.57799999999999996</v>
      </c>
      <c r="M78" s="2"/>
      <c r="N78" s="14"/>
    </row>
    <row r="79" spans="3:26" x14ac:dyDescent="0.35">
      <c r="C79" s="10"/>
      <c r="D79" s="2" t="s">
        <v>12</v>
      </c>
      <c r="E79" s="2">
        <v>4</v>
      </c>
      <c r="F79" s="3"/>
      <c r="G79" s="5">
        <v>510.93299999999999</v>
      </c>
      <c r="H79" s="4"/>
      <c r="I79" s="3"/>
      <c r="J79" s="5">
        <v>983.38199999999995</v>
      </c>
      <c r="K79" s="4"/>
      <c r="L79" s="2">
        <v>0.55200000000000005</v>
      </c>
      <c r="M79" s="2"/>
      <c r="N79" s="14"/>
    </row>
    <row r="80" spans="3:26" x14ac:dyDescent="0.35">
      <c r="C80" s="10"/>
      <c r="D80" s="2" t="s">
        <v>12</v>
      </c>
      <c r="E80" s="2">
        <v>5</v>
      </c>
      <c r="F80" s="3"/>
      <c r="G80" s="5">
        <v>786.65300000000002</v>
      </c>
      <c r="H80" s="4"/>
      <c r="I80" s="3"/>
      <c r="J80" s="5">
        <v>2381.4090000000001</v>
      </c>
      <c r="K80" s="4"/>
      <c r="L80" s="2">
        <v>0.57799999999999996</v>
      </c>
      <c r="M80" s="2"/>
      <c r="N80" s="14"/>
    </row>
    <row r="81" spans="3:14" x14ac:dyDescent="0.35">
      <c r="C81" s="10"/>
      <c r="D81" s="2" t="s">
        <v>12</v>
      </c>
      <c r="E81" s="2">
        <v>6</v>
      </c>
      <c r="F81" s="3"/>
      <c r="G81" s="5">
        <v>451.99900000000002</v>
      </c>
      <c r="H81" s="4"/>
      <c r="I81" s="3"/>
      <c r="J81" s="5">
        <v>828.077</v>
      </c>
      <c r="K81" s="4"/>
      <c r="L81" s="2">
        <v>0.628</v>
      </c>
      <c r="M81" s="2"/>
      <c r="N81" s="14"/>
    </row>
    <row r="82" spans="3:14" x14ac:dyDescent="0.35">
      <c r="C82" s="10"/>
      <c r="D82" s="2" t="s">
        <v>12</v>
      </c>
      <c r="E82" s="2">
        <v>7</v>
      </c>
      <c r="F82" s="3"/>
      <c r="G82" s="5">
        <v>565.82600000000002</v>
      </c>
      <c r="H82" s="4"/>
      <c r="I82" s="3"/>
      <c r="J82" s="5">
        <v>565.82600000000002</v>
      </c>
      <c r="K82" s="4"/>
      <c r="L82" s="2">
        <v>0.59099999999999997</v>
      </c>
      <c r="M82" s="2"/>
      <c r="N82" s="14"/>
    </row>
    <row r="83" spans="3:14" x14ac:dyDescent="0.35">
      <c r="C83" s="10"/>
      <c r="D83" s="2" t="s">
        <v>12</v>
      </c>
      <c r="E83" s="2">
        <v>8</v>
      </c>
      <c r="F83" s="3"/>
      <c r="G83" s="5">
        <v>553.96299999999997</v>
      </c>
      <c r="H83" s="4"/>
      <c r="I83" s="3"/>
      <c r="J83" s="5">
        <v>968.14599999999996</v>
      </c>
      <c r="K83" s="4"/>
      <c r="L83" s="2">
        <v>0.629</v>
      </c>
      <c r="M83" s="2"/>
      <c r="N83" s="14"/>
    </row>
    <row r="84" spans="3:14" x14ac:dyDescent="0.35">
      <c r="C84" s="10"/>
      <c r="D84" s="2" t="s">
        <v>12</v>
      </c>
      <c r="E84" s="2">
        <v>9</v>
      </c>
      <c r="F84" s="3"/>
      <c r="G84" s="5">
        <v>505.83199999999999</v>
      </c>
      <c r="H84" s="4"/>
      <c r="I84" s="3"/>
      <c r="J84" s="5">
        <v>916.76400000000001</v>
      </c>
      <c r="K84" s="4"/>
      <c r="L84" s="2">
        <v>0.61599999999999999</v>
      </c>
      <c r="M84" s="2"/>
      <c r="N84" s="14"/>
    </row>
    <row r="85" spans="3:14" ht="15" thickBot="1" x14ac:dyDescent="0.4">
      <c r="C85" s="12"/>
      <c r="D85" s="6" t="s">
        <v>12</v>
      </c>
      <c r="E85" s="6">
        <v>10</v>
      </c>
      <c r="F85" s="7"/>
      <c r="G85" s="8">
        <v>608.89200000000005</v>
      </c>
      <c r="H85" s="9"/>
      <c r="I85" s="7"/>
      <c r="J85" s="8">
        <v>861.10199999999998</v>
      </c>
      <c r="K85" s="9"/>
      <c r="L85" s="6">
        <v>0.59199999999999997</v>
      </c>
      <c r="M85" s="6"/>
      <c r="N85" s="29"/>
    </row>
    <row r="86" spans="3:14" ht="15.5" thickTop="1" thickBot="1" x14ac:dyDescent="0.4">
      <c r="C86" s="21" t="s">
        <v>6</v>
      </c>
      <c r="D86" s="22" t="s">
        <v>13</v>
      </c>
      <c r="E86" s="22">
        <v>1</v>
      </c>
      <c r="F86" s="23"/>
      <c r="G86" s="24">
        <v>376.79</v>
      </c>
      <c r="H86" s="25"/>
      <c r="I86" s="23"/>
      <c r="J86" s="24">
        <v>619.34</v>
      </c>
      <c r="K86" s="25"/>
      <c r="L86" s="22">
        <v>0.624</v>
      </c>
      <c r="M86" s="22">
        <f>AVERAGE(G86:G95)</f>
        <v>401.697</v>
      </c>
      <c r="N86" s="28">
        <f>AVERAGE(J86:J95)</f>
        <v>942.55809999999997</v>
      </c>
    </row>
    <row r="87" spans="3:14" ht="15" thickTop="1" x14ac:dyDescent="0.35">
      <c r="C87" s="15"/>
      <c r="D87" s="16" t="s">
        <v>13</v>
      </c>
      <c r="E87" s="16">
        <v>2</v>
      </c>
      <c r="F87" s="17"/>
      <c r="G87" s="18">
        <v>461.98099999999999</v>
      </c>
      <c r="H87" s="19"/>
      <c r="I87" s="17"/>
      <c r="J87" s="18">
        <v>1531.404</v>
      </c>
      <c r="K87" s="19"/>
      <c r="L87" s="16">
        <v>0.73099999999999998</v>
      </c>
      <c r="M87" s="16"/>
      <c r="N87" s="27"/>
    </row>
    <row r="88" spans="3:14" x14ac:dyDescent="0.35">
      <c r="C88" s="10"/>
      <c r="D88" s="2" t="s">
        <v>13</v>
      </c>
      <c r="E88" s="2">
        <v>3</v>
      </c>
      <c r="F88" s="3"/>
      <c r="G88" s="5">
        <v>359.03399999999999</v>
      </c>
      <c r="H88" s="4"/>
      <c r="I88" s="3"/>
      <c r="J88" s="5">
        <v>655.88599999999997</v>
      </c>
      <c r="K88" s="4"/>
      <c r="L88" s="2">
        <v>0.66400000000000003</v>
      </c>
      <c r="M88" s="2"/>
      <c r="N88" s="14"/>
    </row>
    <row r="89" spans="3:14" x14ac:dyDescent="0.35">
      <c r="C89" s="10"/>
      <c r="D89" s="2" t="s">
        <v>13</v>
      </c>
      <c r="E89" s="2">
        <v>4</v>
      </c>
      <c r="F89" s="3"/>
      <c r="G89" s="5">
        <v>341.28199999999998</v>
      </c>
      <c r="H89" s="4"/>
      <c r="I89" s="3"/>
      <c r="J89" s="5">
        <v>668.15200000000004</v>
      </c>
      <c r="K89" s="4"/>
      <c r="L89" s="2">
        <v>0.67800000000000005</v>
      </c>
      <c r="M89" s="2"/>
      <c r="N89" s="14"/>
    </row>
    <row r="90" spans="3:14" x14ac:dyDescent="0.35">
      <c r="C90" s="10"/>
      <c r="D90" s="2" t="s">
        <v>13</v>
      </c>
      <c r="E90" s="2">
        <v>5</v>
      </c>
      <c r="F90" s="3"/>
      <c r="G90" s="5">
        <v>434.71199999999999</v>
      </c>
      <c r="H90" s="4"/>
      <c r="I90" s="3"/>
      <c r="J90" s="5">
        <v>1066.604</v>
      </c>
      <c r="K90" s="4"/>
      <c r="L90" s="2">
        <v>0.77100000000000002</v>
      </c>
      <c r="M90" s="2"/>
      <c r="N90" s="14"/>
    </row>
    <row r="91" spans="3:14" x14ac:dyDescent="0.35">
      <c r="C91" s="10"/>
      <c r="D91" s="2" t="s">
        <v>13</v>
      </c>
      <c r="E91" s="2">
        <v>6</v>
      </c>
      <c r="F91" s="3"/>
      <c r="G91" s="5">
        <v>363.62900000000002</v>
      </c>
      <c r="H91" s="4"/>
      <c r="I91" s="3"/>
      <c r="J91" s="5">
        <v>724.73900000000003</v>
      </c>
      <c r="K91" s="4"/>
      <c r="L91" s="2">
        <v>0.74399999999999999</v>
      </c>
      <c r="M91" s="2"/>
      <c r="N91" s="14"/>
    </row>
    <row r="92" spans="3:14" x14ac:dyDescent="0.35">
      <c r="C92" s="10"/>
      <c r="D92" s="2" t="s">
        <v>13</v>
      </c>
      <c r="E92" s="2">
        <v>7</v>
      </c>
      <c r="F92" s="3"/>
      <c r="G92" s="5">
        <v>422.11200000000002</v>
      </c>
      <c r="H92" s="4"/>
      <c r="I92" s="3"/>
      <c r="J92" s="5">
        <v>850.745</v>
      </c>
      <c r="K92" s="4"/>
      <c r="L92" s="2">
        <v>0.73099999999999998</v>
      </c>
      <c r="M92" s="2"/>
      <c r="N92" s="14"/>
    </row>
    <row r="93" spans="3:14" x14ac:dyDescent="0.35">
      <c r="C93" s="10"/>
      <c r="D93" s="2" t="s">
        <v>13</v>
      </c>
      <c r="E93" s="2">
        <v>8</v>
      </c>
      <c r="F93" s="3"/>
      <c r="G93" s="5">
        <v>430.37400000000002</v>
      </c>
      <c r="H93" s="4"/>
      <c r="I93" s="3"/>
      <c r="J93" s="5">
        <v>1171.769</v>
      </c>
      <c r="K93" s="4"/>
      <c r="L93" s="2">
        <v>0.67800000000000005</v>
      </c>
      <c r="M93" s="2"/>
      <c r="N93" s="14"/>
    </row>
    <row r="94" spans="3:14" x14ac:dyDescent="0.35">
      <c r="C94" s="10"/>
      <c r="D94" s="2" t="s">
        <v>13</v>
      </c>
      <c r="E94" s="2">
        <v>9</v>
      </c>
      <c r="F94" s="3"/>
      <c r="G94" s="5">
        <v>412.68700000000001</v>
      </c>
      <c r="H94" s="4"/>
      <c r="I94" s="3"/>
      <c r="J94" s="5">
        <v>1075.203</v>
      </c>
      <c r="K94" s="4"/>
      <c r="L94" s="2">
        <v>0.67800000000000005</v>
      </c>
      <c r="M94" s="2"/>
      <c r="N94" s="14"/>
    </row>
    <row r="95" spans="3:14" ht="15" thickBot="1" x14ac:dyDescent="0.4">
      <c r="C95" s="12"/>
      <c r="D95" s="6" t="s">
        <v>13</v>
      </c>
      <c r="E95" s="6">
        <v>10</v>
      </c>
      <c r="F95" s="7"/>
      <c r="G95" s="8">
        <v>414.36900000000003</v>
      </c>
      <c r="H95" s="9"/>
      <c r="I95" s="7"/>
      <c r="J95" s="8">
        <v>1061.739</v>
      </c>
      <c r="K95" s="9"/>
      <c r="L95" s="6">
        <v>0.65100000000000002</v>
      </c>
      <c r="M95" s="6"/>
      <c r="N95" s="29"/>
    </row>
    <row r="96" spans="3:14" ht="15.5" thickTop="1" thickBot="1" x14ac:dyDescent="0.4">
      <c r="C96" s="21" t="s">
        <v>9</v>
      </c>
      <c r="D96" s="22" t="s">
        <v>13</v>
      </c>
      <c r="E96" s="22">
        <v>1</v>
      </c>
      <c r="F96" s="23"/>
      <c r="G96" s="24">
        <v>375.92</v>
      </c>
      <c r="H96" s="25"/>
      <c r="I96" s="23"/>
      <c r="J96" s="24">
        <v>918.47900000000004</v>
      </c>
      <c r="K96" s="25"/>
      <c r="L96" s="22">
        <v>0.65400000000000003</v>
      </c>
      <c r="M96" s="22">
        <f>AVERAGE(G96:G105)</f>
        <v>340.77730000000003</v>
      </c>
      <c r="N96" s="28">
        <f>AVERAGE(J96:J105)</f>
        <v>903.7342000000001</v>
      </c>
    </row>
    <row r="97" spans="3:14" ht="15" thickTop="1" x14ac:dyDescent="0.35">
      <c r="C97" s="15"/>
      <c r="D97" s="16" t="s">
        <v>13</v>
      </c>
      <c r="E97" s="16">
        <v>2</v>
      </c>
      <c r="F97" s="17"/>
      <c r="G97" s="18">
        <v>396.51</v>
      </c>
      <c r="H97" s="19"/>
      <c r="I97" s="17"/>
      <c r="J97" s="18">
        <v>1060.75</v>
      </c>
      <c r="K97" s="19"/>
      <c r="L97" s="16">
        <v>0.69899999999999995</v>
      </c>
      <c r="M97" s="16"/>
      <c r="N97" s="27"/>
    </row>
    <row r="98" spans="3:14" x14ac:dyDescent="0.35">
      <c r="C98" s="10"/>
      <c r="D98" s="2" t="s">
        <v>13</v>
      </c>
      <c r="E98" s="2">
        <v>3</v>
      </c>
      <c r="F98" s="3"/>
      <c r="G98" s="5">
        <v>347.125</v>
      </c>
      <c r="H98" s="4"/>
      <c r="I98" s="3"/>
      <c r="J98" s="5">
        <v>1017.117</v>
      </c>
      <c r="K98" s="4"/>
      <c r="L98" s="2">
        <v>0.56200000000000006</v>
      </c>
      <c r="M98" s="2"/>
      <c r="N98" s="14"/>
    </row>
    <row r="99" spans="3:14" x14ac:dyDescent="0.35">
      <c r="C99" s="10"/>
      <c r="D99" s="2" t="s">
        <v>13</v>
      </c>
      <c r="E99" s="2">
        <v>4</v>
      </c>
      <c r="F99" s="3"/>
      <c r="G99" s="5">
        <v>356.12900000000002</v>
      </c>
      <c r="H99" s="4"/>
      <c r="I99" s="3"/>
      <c r="J99" s="5">
        <v>927.255</v>
      </c>
      <c r="K99" s="4"/>
      <c r="L99" s="2">
        <v>0.625</v>
      </c>
      <c r="M99" s="2"/>
      <c r="N99" s="14"/>
    </row>
    <row r="100" spans="3:14" x14ac:dyDescent="0.35">
      <c r="C100" s="10"/>
      <c r="D100" s="2" t="s">
        <v>13</v>
      </c>
      <c r="E100" s="2">
        <v>5</v>
      </c>
      <c r="F100" s="3"/>
      <c r="G100" s="5">
        <v>343.14499999999998</v>
      </c>
      <c r="H100" s="4"/>
      <c r="I100" s="3"/>
      <c r="J100" s="5">
        <v>913.86400000000003</v>
      </c>
      <c r="K100" s="4"/>
      <c r="L100" s="2">
        <v>0.61499999999999999</v>
      </c>
      <c r="M100" s="2"/>
      <c r="N100" s="14"/>
    </row>
    <row r="101" spans="3:14" x14ac:dyDescent="0.35">
      <c r="C101" s="10"/>
      <c r="D101" s="2" t="s">
        <v>13</v>
      </c>
      <c r="E101" s="2">
        <v>6</v>
      </c>
      <c r="F101" s="3"/>
      <c r="G101" s="5">
        <v>245.43600000000001</v>
      </c>
      <c r="H101" s="4"/>
      <c r="I101" s="3"/>
      <c r="J101" s="5">
        <v>599</v>
      </c>
      <c r="K101" s="4"/>
      <c r="L101" s="2">
        <v>0.59399999999999997</v>
      </c>
      <c r="M101" s="2"/>
      <c r="N101" s="14"/>
    </row>
    <row r="102" spans="3:14" x14ac:dyDescent="0.35">
      <c r="C102" s="10"/>
      <c r="D102" s="2" t="s">
        <v>13</v>
      </c>
      <c r="E102" s="2">
        <v>7</v>
      </c>
      <c r="F102" s="3"/>
      <c r="G102" s="5">
        <v>303.875</v>
      </c>
      <c r="H102" s="4"/>
      <c r="I102" s="3"/>
      <c r="J102" s="5">
        <v>873.35699999999997</v>
      </c>
      <c r="K102" s="4"/>
      <c r="L102" s="2">
        <v>0.53100000000000003</v>
      </c>
      <c r="M102" s="2"/>
      <c r="N102" s="14"/>
    </row>
    <row r="103" spans="3:14" x14ac:dyDescent="0.35">
      <c r="C103" s="10"/>
      <c r="D103" s="2" t="s">
        <v>13</v>
      </c>
      <c r="E103" s="2">
        <v>8</v>
      </c>
      <c r="F103" s="3"/>
      <c r="G103" s="5">
        <v>349.48399999999998</v>
      </c>
      <c r="H103" s="4"/>
      <c r="I103" s="3"/>
      <c r="J103" s="5">
        <v>894.7</v>
      </c>
      <c r="K103" s="4"/>
      <c r="L103" s="2">
        <v>0.56200000000000006</v>
      </c>
      <c r="M103" s="2"/>
      <c r="N103" s="14"/>
    </row>
    <row r="104" spans="3:14" x14ac:dyDescent="0.35">
      <c r="C104" s="10"/>
      <c r="D104" s="2" t="s">
        <v>13</v>
      </c>
      <c r="E104" s="2">
        <v>9</v>
      </c>
      <c r="F104" s="3"/>
      <c r="G104" s="5">
        <v>323.06400000000002</v>
      </c>
      <c r="H104" s="4"/>
      <c r="I104" s="3"/>
      <c r="J104" s="5">
        <v>987.32299999999998</v>
      </c>
      <c r="K104" s="4"/>
      <c r="L104" s="2">
        <v>0.65800000000000003</v>
      </c>
      <c r="M104" s="2"/>
      <c r="N104" s="14"/>
    </row>
    <row r="105" spans="3:14" ht="15" thickBot="1" x14ac:dyDescent="0.4">
      <c r="C105" s="50"/>
      <c r="D105" s="39" t="s">
        <v>13</v>
      </c>
      <c r="E105" s="39">
        <v>10</v>
      </c>
      <c r="F105" s="51"/>
      <c r="G105" s="52">
        <v>367.08499999999998</v>
      </c>
      <c r="H105" s="53"/>
      <c r="I105" s="51"/>
      <c r="J105" s="52">
        <v>845.49699999999996</v>
      </c>
      <c r="K105" s="53"/>
      <c r="L105" s="39">
        <v>0.68</v>
      </c>
      <c r="M105" s="39"/>
      <c r="N105" s="54"/>
    </row>
    <row r="106" spans="3:14" ht="15" thickTop="1" x14ac:dyDescent="0.35"/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Leen Aldeik</dc:creator>
  <cp:lastModifiedBy>Leen Aldeek (Student)</cp:lastModifiedBy>
  <dcterms:created xsi:type="dcterms:W3CDTF">2025-11-22T19:12:23Z</dcterms:created>
  <dcterms:modified xsi:type="dcterms:W3CDTF">2025-11-29T15:30:19Z</dcterms:modified>
</cp:coreProperties>
</file>